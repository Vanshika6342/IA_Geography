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vi\OneDrive\Desktop\Vanshika\IB\IAs\IA_Geography\"/>
    </mc:Choice>
  </mc:AlternateContent>
  <xr:revisionPtr revIDLastSave="0" documentId="8_{0490E3B8-52D6-445F-85DA-EBED19429751}" xr6:coauthVersionLast="47" xr6:coauthVersionMax="47" xr10:uidLastSave="{00000000-0000-0000-0000-000000000000}"/>
  <bookViews>
    <workbookView xWindow="-108" yWindow="-108" windowWidth="23256" windowHeight="12456" xr2:uid="{0C37F102-679F-439A-9C7B-89C5413C66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11" i="1"/>
  <c r="P5" i="1"/>
  <c r="P7" i="1"/>
  <c r="P8" i="1"/>
  <c r="P9" i="1"/>
  <c r="P10" i="1"/>
  <c r="P4" i="1"/>
  <c r="N5" i="1"/>
  <c r="N6" i="1"/>
  <c r="N7" i="1"/>
  <c r="N8" i="1"/>
  <c r="N9" i="1"/>
  <c r="N10" i="1"/>
  <c r="N11" i="1"/>
  <c r="N4" i="1"/>
  <c r="J4" i="1"/>
  <c r="L9" i="1"/>
  <c r="L5" i="1"/>
  <c r="L6" i="1"/>
  <c r="L7" i="1"/>
  <c r="L8" i="1"/>
  <c r="L10" i="1"/>
  <c r="L11" i="1"/>
  <c r="L4" i="1"/>
  <c r="J5" i="1"/>
  <c r="J6" i="1"/>
  <c r="J7" i="1"/>
  <c r="J8" i="1"/>
  <c r="J9" i="1"/>
  <c r="J10" i="1"/>
  <c r="J11" i="1"/>
</calcChain>
</file>

<file path=xl/sharedStrings.xml><?xml version="1.0" encoding="utf-8"?>
<sst xmlns="http://schemas.openxmlformats.org/spreadsheetml/2006/main" count="151" uniqueCount="33">
  <si>
    <t>Wetted Perimeter</t>
  </si>
  <si>
    <t>Recordings (m)</t>
  </si>
  <si>
    <t>Sites</t>
  </si>
  <si>
    <t>Recording 1</t>
  </si>
  <si>
    <t>Recording 2</t>
  </si>
  <si>
    <t>Recording 3</t>
  </si>
  <si>
    <t>Recording 4</t>
  </si>
  <si>
    <t>Recording 5</t>
  </si>
  <si>
    <t>Average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</si>
  <si>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</si>
  <si>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</si>
  <si>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</si>
  <si>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</si>
  <si>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</si>
  <si>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</si>
  <si>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</si>
  <si>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</si>
  <si>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Depth</t>
  </si>
  <si>
    <t xml:space="preserve">N / A </t>
  </si>
  <si>
    <t xml:space="preserve">first 2 sites using three seperate locations within site </t>
  </si>
  <si>
    <t>recording 1 after bridge</t>
  </si>
  <si>
    <t xml:space="preserve">each recording was taken in 5 places along riverbed across the width at the ends, middle, halfway to middle and end, and an average was found </t>
  </si>
  <si>
    <t>Width</t>
  </si>
  <si>
    <t>Each recording was taken in the same spot 3x, except in sites 1 and 2, there three different places in the site were measured.</t>
  </si>
  <si>
    <t>N/A</t>
  </si>
  <si>
    <t>At the site with the bridge (at the bakery) the measurement was taken after the bridge</t>
  </si>
  <si>
    <t>Velocity (analogue)</t>
  </si>
  <si>
    <t>Recordings (m/s)</t>
  </si>
  <si>
    <t>Velocity (digital)</t>
  </si>
  <si>
    <t>Standard Deviation (Wetted Perimeter)</t>
  </si>
  <si>
    <t>Standard Dev. (Depth)</t>
  </si>
  <si>
    <t>Standard Dev. (Width)</t>
  </si>
  <si>
    <t>Standard Dev. (Digi Velo)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</si>
</sst>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156082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Average Wetted Perimeter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9213221698211206E-2"/>
          <c:y val="0.14546553808948007"/>
          <c:w val="0.88660032271691636"/>
          <c:h val="0.671852853338919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Tabelle1!$J$4:$J$11</c:f>
                <c:numCache>
                  <c:formatCode>General</c:formatCode>
                  <c:ptCount val="8"/>
                  <c:pt idx="0">
                    <c:v>9.8843310345212571E-2</c:v>
                  </c:pt>
                  <c:pt idx="1">
                    <c:v>9.8640762365261578E-2</c:v>
                  </c:pt>
                  <c:pt idx="2">
                    <c:v>0.11211601134539168</c:v>
                  </c:pt>
                  <c:pt idx="3">
                    <c:v>8.1547532151500318E-2</c:v>
                  </c:pt>
                  <c:pt idx="4">
                    <c:v>0.10285912696499037</c:v>
                  </c:pt>
                  <c:pt idx="5">
                    <c:v>0.10334408546211064</c:v>
                  </c:pt>
                  <c:pt idx="6">
                    <c:v>7.7136243102707586E-2</c:v>
                  </c:pt>
                  <c:pt idx="7">
                    <c:v>7.2111025509279947E-2</c:v>
                  </c:pt>
                </c:numCache>
              </c:numRef>
            </c:plus>
            <c:minus>
              <c:numRef>
                <c:f>Tabelle1!$J$4:$J$11</c:f>
                <c:numCache>
                  <c:formatCode>General</c:formatCode>
                  <c:ptCount val="8"/>
                  <c:pt idx="0">
                    <c:v>9.8843310345212571E-2</c:v>
                  </c:pt>
                  <c:pt idx="1">
                    <c:v>9.8640762365261578E-2</c:v>
                  </c:pt>
                  <c:pt idx="2">
                    <c:v>0.11211601134539168</c:v>
                  </c:pt>
                  <c:pt idx="3">
                    <c:v>8.1547532151500318E-2</c:v>
                  </c:pt>
                  <c:pt idx="4">
                    <c:v>0.10285912696499037</c:v>
                  </c:pt>
                  <c:pt idx="5">
                    <c:v>0.10334408546211064</c:v>
                  </c:pt>
                  <c:pt idx="6">
                    <c:v>7.7136243102707586E-2</c:v>
                  </c:pt>
                  <c:pt idx="7">
                    <c:v>7.2111025509279947E-2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/>
            </c:spPr>
          </c:errBars>
          <c:val>
            <c:numRef>
              <c:f>Tabelle1!$H$4:$H$11</c:f>
              <c:numCache>
                <c:formatCode>General</c:formatCode>
                <c:ptCount val="8"/>
                <c:pt idx="0">
                  <c:v>2.0299999999999998</c:v>
                </c:pt>
                <c:pt idx="1">
                  <c:v>2.96</c:v>
                </c:pt>
                <c:pt idx="2">
                  <c:v>6.91</c:v>
                </c:pt>
                <c:pt idx="3">
                  <c:v>5.0199999999999996</c:v>
                </c:pt>
                <c:pt idx="4">
                  <c:v>6.75</c:v>
                </c:pt>
                <c:pt idx="5">
                  <c:v>6.33</c:v>
                </c:pt>
                <c:pt idx="6">
                  <c:v>3.53</c:v>
                </c:pt>
                <c:pt idx="7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9-456F-A547-8C776975A3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458032"/>
        <c:axId val="1135534480"/>
      </c:barChart>
      <c:catAx>
        <c:axId val="116945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5534480"/>
        <c:crosses val="autoZero"/>
        <c:auto val="1"/>
        <c:lblAlgn val="ctr"/>
        <c:lblOffset val="100"/>
        <c:noMultiLvlLbl val="0"/>
      </c:catAx>
      <c:valAx>
        <c:axId val="11355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Length in meters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45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Average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6329569265756492E-2"/>
                  <c:y val="-4.43139348638547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57-4816-B151-94F87642E099}"/>
                </c:ext>
              </c:extLst>
            </c:dLbl>
            <c:dLbl>
              <c:idx val="6"/>
              <c:layout>
                <c:manualLayout>
                  <c:x val="3.6320987477740985E-2"/>
                  <c:y val="-7.49163005083883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57-4816-B151-94F87642E0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Tabelle1!$L$4:$L$11</c:f>
                <c:numCache>
                  <c:formatCode>General</c:formatCode>
                  <c:ptCount val="8"/>
                  <c:pt idx="0">
                    <c:v>9.0737717258774636E-3</c:v>
                  </c:pt>
                  <c:pt idx="1">
                    <c:v>0.11923121794787364</c:v>
                  </c:pt>
                  <c:pt idx="2">
                    <c:v>7.5718777944003713E-3</c:v>
                  </c:pt>
                  <c:pt idx="3">
                    <c:v>9.1651513899116722E-3</c:v>
                  </c:pt>
                  <c:pt idx="4">
                    <c:v>1.5275252316519479E-3</c:v>
                  </c:pt>
                  <c:pt idx="5">
                    <c:v>6.4291005073286263E-3</c:v>
                  </c:pt>
                  <c:pt idx="6">
                    <c:v>2.753785273643063E-2</c:v>
                  </c:pt>
                  <c:pt idx="7">
                    <c:v>6.0827625302981927E-3</c:v>
                  </c:pt>
                </c:numCache>
              </c:numRef>
            </c:plus>
            <c:minus>
              <c:numRef>
                <c:f>Tabelle1!$L$4:$L$11</c:f>
                <c:numCache>
                  <c:formatCode>General</c:formatCode>
                  <c:ptCount val="8"/>
                  <c:pt idx="0">
                    <c:v>9.0737717258774636E-3</c:v>
                  </c:pt>
                  <c:pt idx="1">
                    <c:v>0.11923121794787364</c:v>
                  </c:pt>
                  <c:pt idx="2">
                    <c:v>7.5718777944003713E-3</c:v>
                  </c:pt>
                  <c:pt idx="3">
                    <c:v>9.1651513899116722E-3</c:v>
                  </c:pt>
                  <c:pt idx="4">
                    <c:v>1.5275252316519479E-3</c:v>
                  </c:pt>
                  <c:pt idx="5">
                    <c:v>6.4291005073286263E-3</c:v>
                  </c:pt>
                  <c:pt idx="6">
                    <c:v>2.753785273643063E-2</c:v>
                  </c:pt>
                  <c:pt idx="7">
                    <c:v>6.0827625302981927E-3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/>
            </c:spPr>
          </c:errBars>
          <c:val>
            <c:numRef>
              <c:f>Tabelle1!$H$18:$H$25</c:f>
              <c:numCache>
                <c:formatCode>General</c:formatCode>
                <c:ptCount val="8"/>
                <c:pt idx="0">
                  <c:v>0.14499999999999999</c:v>
                </c:pt>
                <c:pt idx="1">
                  <c:v>0.17899999999999999</c:v>
                </c:pt>
                <c:pt idx="2">
                  <c:v>0.41699999999999998</c:v>
                </c:pt>
                <c:pt idx="3">
                  <c:v>0.18</c:v>
                </c:pt>
                <c:pt idx="4">
                  <c:v>0.189</c:v>
                </c:pt>
                <c:pt idx="5">
                  <c:v>0.20799999999999999</c:v>
                </c:pt>
                <c:pt idx="6">
                  <c:v>0.19</c:v>
                </c:pt>
                <c:pt idx="7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7-4816-B151-94F87642E0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50320"/>
        <c:axId val="7146960"/>
      </c:barChart>
      <c:catAx>
        <c:axId val="715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46960"/>
        <c:crosses val="autoZero"/>
        <c:auto val="1"/>
        <c:lblAlgn val="ctr"/>
        <c:lblOffset val="100"/>
        <c:noMultiLvlLbl val="0"/>
      </c:catAx>
      <c:valAx>
        <c:axId val="71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 in meters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5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Average Width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9782493990736941E-2"/>
                  <c:y val="-6.70887801146742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B7-4E9C-8D3F-5C0893BEFFEF}"/>
                </c:ext>
              </c:extLst>
            </c:dLbl>
            <c:dLbl>
              <c:idx val="1"/>
              <c:layout>
                <c:manualLayout>
                  <c:x val="4.1364574987134639E-2"/>
                  <c:y val="-1.34177560229348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B7-4E9C-8D3F-5C0893BEF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Tabelle1!$N$4:$N$11</c:f>
                <c:numCache>
                  <c:formatCode>General</c:formatCode>
                  <c:ptCount val="8"/>
                  <c:pt idx="0">
                    <c:v>0.34044089061098387</c:v>
                  </c:pt>
                  <c:pt idx="1">
                    <c:v>1.7199127884866716</c:v>
                  </c:pt>
                  <c:pt idx="2">
                    <c:v>1.5275252316519529E-2</c:v>
                  </c:pt>
                  <c:pt idx="3">
                    <c:v>1.5275252316519142E-2</c:v>
                  </c:pt>
                  <c:pt idx="4">
                    <c:v>1.1547005383792781E-2</c:v>
                  </c:pt>
                  <c:pt idx="5">
                    <c:v>3.2145502536643514E-2</c:v>
                  </c:pt>
                  <c:pt idx="6">
                    <c:v>7.5055534994651313E-2</c:v>
                  </c:pt>
                  <c:pt idx="7">
                    <c:v>9.9999999999997868E-3</c:v>
                  </c:pt>
                </c:numCache>
              </c:numRef>
            </c:plus>
            <c:minus>
              <c:numRef>
                <c:f>Tabelle1!$N$4:$N$11</c:f>
                <c:numCache>
                  <c:formatCode>General</c:formatCode>
                  <c:ptCount val="8"/>
                  <c:pt idx="0">
                    <c:v>0.34044089061098387</c:v>
                  </c:pt>
                  <c:pt idx="1">
                    <c:v>1.7199127884866716</c:v>
                  </c:pt>
                  <c:pt idx="2">
                    <c:v>1.5275252316519529E-2</c:v>
                  </c:pt>
                  <c:pt idx="3">
                    <c:v>1.5275252316519142E-2</c:v>
                  </c:pt>
                  <c:pt idx="4">
                    <c:v>1.1547005383792781E-2</c:v>
                  </c:pt>
                  <c:pt idx="5">
                    <c:v>3.2145502536643514E-2</c:v>
                  </c:pt>
                  <c:pt idx="6">
                    <c:v>7.5055534994651313E-2</c:v>
                  </c:pt>
                  <c:pt idx="7">
                    <c:v>9.9999999999997868E-3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Tabelle1!$H$30:$H$37</c:f>
              <c:numCache>
                <c:formatCode>General</c:formatCode>
                <c:ptCount val="8"/>
                <c:pt idx="0">
                  <c:v>2.02</c:v>
                </c:pt>
                <c:pt idx="1">
                  <c:v>4.1900000000000004</c:v>
                </c:pt>
                <c:pt idx="2">
                  <c:v>4.4029999999999996</c:v>
                </c:pt>
                <c:pt idx="3">
                  <c:v>5.2960000000000003</c:v>
                </c:pt>
                <c:pt idx="4">
                  <c:v>7.016</c:v>
                </c:pt>
                <c:pt idx="5">
                  <c:v>5.6130000000000004</c:v>
                </c:pt>
                <c:pt idx="6">
                  <c:v>3.8730000000000002</c:v>
                </c:pt>
                <c:pt idx="7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7-4E9C-8D3F-5C0893BEFF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137472"/>
        <c:axId val="8501600"/>
      </c:barChart>
      <c:catAx>
        <c:axId val="19913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01600"/>
        <c:crosses val="autoZero"/>
        <c:auto val="1"/>
        <c:lblAlgn val="ctr"/>
        <c:lblOffset val="100"/>
        <c:noMultiLvlLbl val="0"/>
      </c:catAx>
      <c:valAx>
        <c:axId val="85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Length</a:t>
                </a:r>
                <a:r>
                  <a:rPr lang="de-DE" baseline="0"/>
                  <a:t> in meters (m)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3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Average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A6D-4039-88C8-8FC0FF8EAEAD}"/>
              </c:ext>
            </c:extLst>
          </c:dPt>
          <c:dLbls>
            <c:dLbl>
              <c:idx val="2"/>
              <c:layout>
                <c:manualLayout>
                  <c:x val="4.3309001858667068E-2"/>
                  <c:y val="-3.19394091010770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1.1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679393112609572E-2"/>
                      <c:h val="4.36562615404775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8A6D-4039-88C8-8FC0FF8EAEAD}"/>
                </c:ext>
              </c:extLst>
            </c:dLbl>
            <c:dLbl>
              <c:idx val="3"/>
              <c:layout>
                <c:manualLayout>
                  <c:x val="3.8311809336513174E-2"/>
                  <c:y val="-2.01722583796276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6D-4039-88C8-8FC0FF8EAEAD}"/>
                </c:ext>
              </c:extLst>
            </c:dLbl>
            <c:dLbl>
              <c:idx val="4"/>
              <c:layout>
                <c:manualLayout>
                  <c:x val="3.1648885973641197E-2"/>
                  <c:y val="-1.68102153163564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6D-4039-88C8-8FC0FF8EAEAD}"/>
                </c:ext>
              </c:extLst>
            </c:dLbl>
            <c:dLbl>
              <c:idx val="5"/>
              <c:layout>
                <c:manualLayout>
                  <c:x val="3.4980347655077244E-2"/>
                  <c:y val="-2.01722583796276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6D-4039-88C8-8FC0FF8EAEAD}"/>
                </c:ext>
              </c:extLst>
            </c:dLbl>
            <c:dLbl>
              <c:idx val="6"/>
              <c:layout>
                <c:manualLayout>
                  <c:x val="3.8311809336513174E-2"/>
                  <c:y val="-1.34481722530850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6D-4039-88C8-8FC0FF8EAE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Tabelle1!$P$4:$P$11</c:f>
                <c:numCache>
                  <c:formatCode>General</c:formatCode>
                  <c:ptCount val="8"/>
                  <c:pt idx="0">
                    <c:v>3.0956959368344493E-2</c:v>
                  </c:pt>
                  <c:pt idx="1">
                    <c:v>1.4142135623730951E-2</c:v>
                  </c:pt>
                  <c:pt idx="2">
                    <c:v>0.13140268896284579</c:v>
                  </c:pt>
                  <c:pt idx="3">
                    <c:v>7.4833147735478847E-2</c:v>
                  </c:pt>
                  <c:pt idx="4">
                    <c:v>5.0990195135927764E-2</c:v>
                  </c:pt>
                  <c:pt idx="5">
                    <c:v>7.7190241179396074E-2</c:v>
                  </c:pt>
                  <c:pt idx="6">
                    <c:v>8.9953691790090884E-2</c:v>
                  </c:pt>
                  <c:pt idx="7">
                    <c:v>2.5166114784235839E-2</c:v>
                  </c:pt>
                </c:numCache>
              </c:numRef>
            </c:plus>
            <c:minus>
              <c:numRef>
                <c:f>Tabelle1!$P$4:$P$11</c:f>
                <c:numCache>
                  <c:formatCode>General</c:formatCode>
                  <c:ptCount val="8"/>
                  <c:pt idx="0">
                    <c:v>3.0956959368344493E-2</c:v>
                  </c:pt>
                  <c:pt idx="1">
                    <c:v>1.4142135623730951E-2</c:v>
                  </c:pt>
                  <c:pt idx="2">
                    <c:v>0.13140268896284579</c:v>
                  </c:pt>
                  <c:pt idx="3">
                    <c:v>7.4833147735478847E-2</c:v>
                  </c:pt>
                  <c:pt idx="4">
                    <c:v>5.0990195135927764E-2</c:v>
                  </c:pt>
                  <c:pt idx="5">
                    <c:v>7.7190241179396074E-2</c:v>
                  </c:pt>
                  <c:pt idx="6">
                    <c:v>8.9953691790090884E-2</c:v>
                  </c:pt>
                  <c:pt idx="7">
                    <c:v>2.5166114784235839E-2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errBars>
          <c:val>
            <c:numRef>
              <c:f>Tabelle1!$H$56:$H$63</c:f>
              <c:numCache>
                <c:formatCode>General</c:formatCode>
                <c:ptCount val="8"/>
                <c:pt idx="0">
                  <c:v>0.57250000000000001</c:v>
                </c:pt>
                <c:pt idx="1">
                  <c:v>0.24</c:v>
                </c:pt>
                <c:pt idx="2" formatCode="#,##0">
                  <c:v>1.1100000000000001</c:v>
                </c:pt>
                <c:pt idx="3">
                  <c:v>0.8</c:v>
                </c:pt>
                <c:pt idx="4">
                  <c:v>0.19</c:v>
                </c:pt>
                <c:pt idx="5">
                  <c:v>0.23250000000000001</c:v>
                </c:pt>
                <c:pt idx="6">
                  <c:v>0.28749999999999998</c:v>
                </c:pt>
                <c:pt idx="7">
                  <c:v>3.3340000000000002E-2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D-4039-88C8-8FC0FF8EA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050240"/>
        <c:axId val="1135047360"/>
      </c:barChart>
      <c:catAx>
        <c:axId val="113505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5047360"/>
        <c:crosses val="autoZero"/>
        <c:auto val="1"/>
        <c:lblAlgn val="ctr"/>
        <c:lblOffset val="100"/>
        <c:noMultiLvlLbl val="0"/>
      </c:catAx>
      <c:valAx>
        <c:axId val="11350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Velocity</a:t>
                </a:r>
                <a:r>
                  <a:rPr lang="de-DE" baseline="0"/>
                  <a:t> in meters per second (m/s)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505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394138</xdr:colOff>
      <xdr:row>0</xdr:row>
      <xdr:rowOff>87586</xdr:rowOff>
    </xdr:from>
    <xdr:to>
      <xdr:col>27</xdr:col>
      <xdr:colOff>420413</xdr:colOff>
      <xdr:row>21</xdr:row>
      <xdr:rowOff>26276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65BDC9-A271-CD81-B8AC-497A26087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30655</xdr:colOff>
      <xdr:row>22</xdr:row>
      <xdr:rowOff>21019</xdr:rowOff>
    </xdr:from>
    <xdr:to>
      <xdr:col>27</xdr:col>
      <xdr:colOff>586828</xdr:colOff>
      <xdr:row>40</xdr:row>
      <xdr:rowOff>175173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F0BA0E0-0832-C5DB-A9CB-3DE490A50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89900</xdr:colOff>
      <xdr:row>32</xdr:row>
      <xdr:rowOff>23972</xdr:rowOff>
    </xdr:from>
    <xdr:to>
      <xdr:col>17</xdr:col>
      <xdr:colOff>599326</xdr:colOff>
      <xdr:row>53</xdr:row>
      <xdr:rowOff>34247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C5A2203-F3EE-A4A2-68E9-8105285B2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149830</xdr:colOff>
      <xdr:row>54</xdr:row>
      <xdr:rowOff>6848</xdr:rowOff>
    </xdr:from>
    <xdr:to>
      <xdr:col>17</xdr:col>
      <xdr:colOff>607887</xdr:colOff>
      <xdr:row>75</xdr:row>
      <xdr:rowOff>8561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FF6BA41-B6B9-44CF-C0CE-982973724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0B78-4E89-4D04-B173-B79C864F0534}">
  <dimension ref="A1:P64"/>
  <sheetViews>
    <sheetView tabSelected="1" topLeftCell="H64" zoomScale="102" workbookViewId="0">
      <selection activeCell="H68" sqref="H68"/>
    </sheetView>
  </sheetViews>
  <sheetFormatPr baseColWidth="10" defaultRowHeight="14.4" x14ac:dyDescent="0.3"/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x14ac:dyDescent="0.3">
      <c r="A2" s="1"/>
      <c r="B2" s="2" t="s">
        <v>0</v>
      </c>
      <c r="C2" s="8" t="s">
        <v>1</v>
      </c>
      <c r="D2" s="9"/>
      <c r="E2" s="9"/>
      <c r="F2" s="9"/>
      <c r="G2" s="10"/>
      <c r="H2" s="4"/>
      <c r="I2" s="3"/>
      <c r="J2" s="3"/>
      <c r="K2" s="3"/>
      <c r="L2" s="3"/>
    </row>
    <row r="3" spans="1:16" x14ac:dyDescent="0.3">
      <c r="A3" s="1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3"/>
      <c r="J3" s="3" t="s">
        <v>29</v>
      </c>
      <c r="K3" s="3"/>
      <c r="L3" s="3" t="s">
        <v>30</v>
      </c>
      <c r="N3" s="11" t="s">
        <v>31</v>
      </c>
      <c r="O3" s="11"/>
      <c r="P3" s="11" t="s">
        <v>32</v>
      </c>
    </row>
    <row r="4" spans="1:16" x14ac:dyDescent="0.3">
      <c r="A4" s="1"/>
      <c r="B4" s="5" t="s">
        <v>9</v>
      </c>
      <c r="C4" s="5">
        <v>2.0099999999999998</v>
      </c>
      <c r="D4" s="5">
        <v>1.9</v>
      </c>
      <c r="E4" s="5">
        <v>2.1</v>
      </c>
      <c r="F4" s="5">
        <v>1.98</v>
      </c>
      <c r="G4" s="5">
        <v>2.15</v>
      </c>
      <c r="H4" s="5">
        <v>2.0299999999999998</v>
      </c>
      <c r="I4" s="1"/>
      <c r="J4" s="1">
        <f>STDEV(C4:G4)</f>
        <v>9.8843310345212571E-2</v>
      </c>
      <c r="K4" s="1"/>
      <c r="L4" s="1">
        <f>STDEV(C18:E18)</f>
        <v>9.0737717258774636E-3</v>
      </c>
      <c r="N4">
        <f>STDEV(C30:E30)</f>
        <v>0.34044089061098387</v>
      </c>
      <c r="P4">
        <f>STDEV(C56:F56)</f>
        <v>3.0956959368344493E-2</v>
      </c>
    </row>
    <row r="5" spans="1:16" x14ac:dyDescent="0.3">
      <c r="A5" s="1"/>
      <c r="B5" s="5" t="s">
        <v>10</v>
      </c>
      <c r="C5" s="5">
        <v>3</v>
      </c>
      <c r="D5" s="5">
        <v>3.02</v>
      </c>
      <c r="E5" s="5">
        <v>2.95</v>
      </c>
      <c r="F5" s="5">
        <v>2.8</v>
      </c>
      <c r="G5" s="5">
        <v>3.05</v>
      </c>
      <c r="H5" s="5">
        <v>2.96</v>
      </c>
      <c r="I5" s="1"/>
      <c r="J5" s="1">
        <f t="shared" ref="J5:J11" si="0">STDEV(C5:G5)</f>
        <v>9.8640762365261578E-2</v>
      </c>
      <c r="K5" s="1"/>
      <c r="L5" s="1">
        <f>STDEV(C19:E19)</f>
        <v>0.11923121794787364</v>
      </c>
      <c r="N5">
        <f t="shared" ref="N5:N11" si="1">STDEV(C31:E31)</f>
        <v>1.7199127884866716</v>
      </c>
      <c r="P5">
        <f t="shared" ref="P5:P10" si="2">STDEV(C57:F57)</f>
        <v>1.4142135623730951E-2</v>
      </c>
    </row>
    <row r="6" spans="1:16" x14ac:dyDescent="0.3">
      <c r="A6" s="1"/>
      <c r="B6" s="5" t="s">
        <v>11</v>
      </c>
      <c r="C6" s="5">
        <v>6.74</v>
      </c>
      <c r="D6" s="5">
        <v>7</v>
      </c>
      <c r="E6" s="5">
        <v>7</v>
      </c>
      <c r="F6" s="5">
        <v>6.95</v>
      </c>
      <c r="G6" s="5">
        <v>6.85</v>
      </c>
      <c r="H6" s="5">
        <v>6.91</v>
      </c>
      <c r="I6" s="1"/>
      <c r="J6" s="1">
        <f t="shared" si="0"/>
        <v>0.11211601134539168</v>
      </c>
      <c r="K6" s="1"/>
      <c r="L6" s="1">
        <f t="shared" ref="L6:L11" si="3">STDEV(C20:E20)</f>
        <v>7.5718777944003713E-3</v>
      </c>
      <c r="N6">
        <f t="shared" si="1"/>
        <v>1.5275252316519529E-2</v>
      </c>
      <c r="P6">
        <f>STDEV(C58:F58)</f>
        <v>0.13140268896284579</v>
      </c>
    </row>
    <row r="7" spans="1:16" x14ac:dyDescent="0.3">
      <c r="A7" s="1"/>
      <c r="B7" s="5" t="s">
        <v>12</v>
      </c>
      <c r="C7" s="5">
        <v>5.12</v>
      </c>
      <c r="D7" s="5">
        <v>5</v>
      </c>
      <c r="E7" s="5">
        <v>4.95</v>
      </c>
      <c r="F7" s="5">
        <v>5.09</v>
      </c>
      <c r="G7" s="5">
        <v>4.9400000000000004</v>
      </c>
      <c r="H7" s="5">
        <v>5.0199999999999996</v>
      </c>
      <c r="I7" s="1"/>
      <c r="J7" s="1">
        <f t="shared" si="0"/>
        <v>8.1547532151500318E-2</v>
      </c>
      <c r="K7" s="1"/>
      <c r="L7" s="1">
        <f t="shared" si="3"/>
        <v>9.1651513899116722E-3</v>
      </c>
      <c r="N7">
        <f t="shared" si="1"/>
        <v>1.5275252316519142E-2</v>
      </c>
      <c r="P7">
        <f t="shared" si="2"/>
        <v>7.4833147735478847E-2</v>
      </c>
    </row>
    <row r="8" spans="1:16" x14ac:dyDescent="0.3">
      <c r="A8" s="1"/>
      <c r="B8" s="5" t="s">
        <v>13</v>
      </c>
      <c r="C8" s="5">
        <v>6.7</v>
      </c>
      <c r="D8" s="5">
        <v>6.6</v>
      </c>
      <c r="E8" s="5">
        <v>6.85</v>
      </c>
      <c r="F8" s="5">
        <v>6.8</v>
      </c>
      <c r="G8" s="5">
        <v>6.82</v>
      </c>
      <c r="H8" s="5">
        <v>6.75</v>
      </c>
      <c r="I8" s="1"/>
      <c r="J8" s="1">
        <f t="shared" si="0"/>
        <v>0.10285912696499037</v>
      </c>
      <c r="K8" s="1"/>
      <c r="L8" s="1">
        <f t="shared" si="3"/>
        <v>1.5275252316519479E-3</v>
      </c>
      <c r="N8">
        <f t="shared" si="1"/>
        <v>1.1547005383792781E-2</v>
      </c>
      <c r="P8">
        <f t="shared" si="2"/>
        <v>5.0990195135927764E-2</v>
      </c>
    </row>
    <row r="9" spans="1:16" x14ac:dyDescent="0.3">
      <c r="A9" s="1"/>
      <c r="B9" s="5" t="s">
        <v>14</v>
      </c>
      <c r="C9" s="5">
        <v>6.48</v>
      </c>
      <c r="D9" s="5">
        <v>6.2</v>
      </c>
      <c r="E9" s="5">
        <v>6.29</v>
      </c>
      <c r="F9" s="5">
        <v>6.36</v>
      </c>
      <c r="G9" s="5">
        <v>6.3</v>
      </c>
      <c r="H9" s="5">
        <v>6.33</v>
      </c>
      <c r="I9" s="1"/>
      <c r="J9" s="1">
        <f t="shared" si="0"/>
        <v>0.10334408546211064</v>
      </c>
      <c r="K9" s="1"/>
      <c r="L9" s="1">
        <f>STDEV(C23:E23)</f>
        <v>6.4291005073286263E-3</v>
      </c>
      <c r="N9">
        <f t="shared" si="1"/>
        <v>3.2145502536643514E-2</v>
      </c>
      <c r="P9">
        <f t="shared" si="2"/>
        <v>7.7190241179396074E-2</v>
      </c>
    </row>
    <row r="10" spans="1:16" x14ac:dyDescent="0.3">
      <c r="A10" s="1"/>
      <c r="B10" s="5" t="s">
        <v>15</v>
      </c>
      <c r="C10" s="5">
        <v>3.6</v>
      </c>
      <c r="D10" s="5">
        <v>3.4</v>
      </c>
      <c r="E10" s="5">
        <v>3.53</v>
      </c>
      <c r="F10" s="5">
        <v>3.57</v>
      </c>
      <c r="G10" s="5">
        <v>3.55</v>
      </c>
      <c r="H10" s="5">
        <v>3.53</v>
      </c>
      <c r="I10" s="1"/>
      <c r="J10" s="1">
        <f t="shared" si="0"/>
        <v>7.7136243102707586E-2</v>
      </c>
      <c r="K10" s="1"/>
      <c r="L10" s="1">
        <f t="shared" si="3"/>
        <v>2.753785273643063E-2</v>
      </c>
      <c r="N10">
        <f t="shared" si="1"/>
        <v>7.5055534994651313E-2</v>
      </c>
      <c r="P10">
        <f t="shared" si="2"/>
        <v>8.9953691790090884E-2</v>
      </c>
    </row>
    <row r="11" spans="1:16" x14ac:dyDescent="0.3">
      <c r="A11" s="1"/>
      <c r="B11" s="5" t="s">
        <v>16</v>
      </c>
      <c r="C11" s="5">
        <v>4.7</v>
      </c>
      <c r="D11" s="5">
        <v>4.62</v>
      </c>
      <c r="E11" s="5">
        <v>4.78</v>
      </c>
      <c r="F11" s="5">
        <v>4.5999999999999996</v>
      </c>
      <c r="G11" s="5">
        <v>4.6500000000000004</v>
      </c>
      <c r="H11" s="5">
        <v>4.67</v>
      </c>
      <c r="I11" s="1"/>
      <c r="J11" s="1">
        <f t="shared" si="0"/>
        <v>7.2111025509279947E-2</v>
      </c>
      <c r="K11" s="1"/>
      <c r="L11" s="1">
        <f t="shared" si="3"/>
        <v>6.0827625302981927E-3</v>
      </c>
      <c r="N11">
        <f t="shared" si="1"/>
        <v>9.9999999999997868E-3</v>
      </c>
      <c r="P11">
        <f>STDEV(C63:E63)</f>
        <v>2.5166114784235839E-2</v>
      </c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6" x14ac:dyDescent="0.3">
      <c r="A16" s="1"/>
      <c r="B16" s="2" t="s">
        <v>17</v>
      </c>
      <c r="C16" s="8" t="s">
        <v>1</v>
      </c>
      <c r="D16" s="9"/>
      <c r="E16" s="9"/>
      <c r="F16" s="9"/>
      <c r="G16" s="10"/>
      <c r="H16" s="5"/>
      <c r="I16" s="1"/>
      <c r="J16" s="1"/>
      <c r="K16" s="1"/>
      <c r="L16" s="1"/>
    </row>
    <row r="17" spans="1:12" x14ac:dyDescent="0.3">
      <c r="A17" s="1"/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  <c r="H17" s="4" t="s">
        <v>8</v>
      </c>
      <c r="I17" s="1"/>
      <c r="J17" s="1"/>
      <c r="K17" s="1"/>
      <c r="L17" s="1"/>
    </row>
    <row r="18" spans="1:12" x14ac:dyDescent="0.3">
      <c r="A18" s="1"/>
      <c r="B18" s="5" t="s">
        <v>9</v>
      </c>
      <c r="C18" s="5">
        <v>0.14099999999999999</v>
      </c>
      <c r="D18" s="5">
        <v>0.13800000000000001</v>
      </c>
      <c r="E18" s="5">
        <v>0.155</v>
      </c>
      <c r="F18" s="5" t="s">
        <v>18</v>
      </c>
      <c r="G18" s="5" t="s">
        <v>18</v>
      </c>
      <c r="H18" s="5">
        <v>0.14499999999999999</v>
      </c>
      <c r="I18" s="1" t="s">
        <v>19</v>
      </c>
      <c r="J18" s="1"/>
      <c r="K18" s="1"/>
      <c r="L18" s="1"/>
    </row>
    <row r="19" spans="1:12" x14ac:dyDescent="0.3">
      <c r="A19" s="1"/>
      <c r="B19" s="5" t="s">
        <v>10</v>
      </c>
      <c r="C19" s="5">
        <v>0.312</v>
      </c>
      <c r="D19" s="5">
        <v>0.13750000000000001</v>
      </c>
      <c r="E19" s="5">
        <v>8.4000000000000005E-2</v>
      </c>
      <c r="F19" s="5" t="s">
        <v>18</v>
      </c>
      <c r="G19" s="5" t="s">
        <v>18</v>
      </c>
      <c r="H19" s="5">
        <v>0.17899999999999999</v>
      </c>
      <c r="I19" s="1" t="s">
        <v>20</v>
      </c>
      <c r="J19" s="1"/>
      <c r="K19" s="1"/>
      <c r="L19" s="1"/>
    </row>
    <row r="20" spans="1:12" x14ac:dyDescent="0.3">
      <c r="A20" s="1"/>
      <c r="B20" s="5" t="s">
        <v>11</v>
      </c>
      <c r="C20" s="5">
        <v>0.42599999999999999</v>
      </c>
      <c r="D20" s="5">
        <v>0.41199999999999998</v>
      </c>
      <c r="E20" s="5">
        <v>0.41399999999999998</v>
      </c>
      <c r="F20" s="5" t="s">
        <v>18</v>
      </c>
      <c r="G20" s="5" t="s">
        <v>18</v>
      </c>
      <c r="H20" s="5">
        <v>0.41699999999999998</v>
      </c>
      <c r="I20" s="1"/>
      <c r="J20" s="1"/>
      <c r="K20" s="1"/>
      <c r="L20" s="1"/>
    </row>
    <row r="21" spans="1:12" x14ac:dyDescent="0.3">
      <c r="A21" s="1"/>
      <c r="B21" s="5" t="s">
        <v>12</v>
      </c>
      <c r="C21" s="5">
        <v>0.188</v>
      </c>
      <c r="D21" s="5">
        <v>0.182</v>
      </c>
      <c r="E21" s="5">
        <v>0.17</v>
      </c>
      <c r="F21" s="5" t="s">
        <v>18</v>
      </c>
      <c r="G21" s="5" t="s">
        <v>18</v>
      </c>
      <c r="H21" s="5">
        <v>0.18</v>
      </c>
      <c r="I21" s="1" t="s">
        <v>21</v>
      </c>
      <c r="J21" s="1"/>
      <c r="K21" s="1"/>
      <c r="L21" s="1"/>
    </row>
    <row r="22" spans="1:12" x14ac:dyDescent="0.3">
      <c r="A22" s="1"/>
      <c r="B22" s="5" t="s">
        <v>13</v>
      </c>
      <c r="C22" s="5">
        <v>0.189</v>
      </c>
      <c r="D22" s="5">
        <v>0.187</v>
      </c>
      <c r="E22" s="5">
        <v>0.19</v>
      </c>
      <c r="F22" s="5" t="s">
        <v>18</v>
      </c>
      <c r="G22" s="5" t="s">
        <v>18</v>
      </c>
      <c r="H22" s="5">
        <v>0.189</v>
      </c>
      <c r="I22" s="1"/>
      <c r="J22" s="1"/>
      <c r="K22" s="1"/>
      <c r="L22" s="1"/>
    </row>
    <row r="23" spans="1:12" x14ac:dyDescent="0.3">
      <c r="A23" s="1"/>
      <c r="B23" s="5" t="s">
        <v>14</v>
      </c>
      <c r="C23" s="5">
        <v>0.21299999999999999</v>
      </c>
      <c r="D23" s="5">
        <v>0.21099999999999999</v>
      </c>
      <c r="E23" s="5">
        <v>0.20100000000000001</v>
      </c>
      <c r="F23" s="5" t="s">
        <v>18</v>
      </c>
      <c r="G23" s="5" t="s">
        <v>18</v>
      </c>
      <c r="H23" s="5">
        <v>0.20799999999999999</v>
      </c>
      <c r="I23" s="1"/>
      <c r="J23" s="1"/>
      <c r="K23" s="1"/>
      <c r="L23" s="1"/>
    </row>
    <row r="24" spans="1:12" x14ac:dyDescent="0.3">
      <c r="A24" s="1"/>
      <c r="B24" s="5" t="s">
        <v>15</v>
      </c>
      <c r="C24" s="5">
        <v>0.20799999999999999</v>
      </c>
      <c r="D24" s="5">
        <v>0.158</v>
      </c>
      <c r="E24" s="5">
        <v>0.20300000000000001</v>
      </c>
      <c r="F24" s="5" t="s">
        <v>18</v>
      </c>
      <c r="G24" s="5" t="s">
        <v>18</v>
      </c>
      <c r="H24" s="5">
        <v>0.19</v>
      </c>
      <c r="I24" s="1"/>
      <c r="J24" s="1"/>
      <c r="K24" s="1"/>
      <c r="L24" s="1"/>
    </row>
    <row r="25" spans="1:12" x14ac:dyDescent="0.3">
      <c r="A25" s="1"/>
      <c r="B25" s="5" t="s">
        <v>16</v>
      </c>
      <c r="C25" s="5">
        <v>0.27300000000000002</v>
      </c>
      <c r="D25" s="5">
        <v>0.28399999999999997</v>
      </c>
      <c r="E25" s="5">
        <v>0.28299999999999997</v>
      </c>
      <c r="F25" s="5" t="s">
        <v>18</v>
      </c>
      <c r="G25" s="5" t="s">
        <v>18</v>
      </c>
      <c r="H25" s="5">
        <v>0.28000000000000003</v>
      </c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2" t="s">
        <v>22</v>
      </c>
      <c r="C28" s="8" t="s">
        <v>1</v>
      </c>
      <c r="D28" s="9"/>
      <c r="E28" s="9"/>
      <c r="F28" s="9"/>
      <c r="G28" s="10"/>
      <c r="H28" s="5"/>
      <c r="I28" s="1"/>
      <c r="J28" s="1"/>
      <c r="K28" s="1"/>
      <c r="L28" s="1"/>
    </row>
    <row r="29" spans="1:12" x14ac:dyDescent="0.3">
      <c r="A29" s="1"/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1"/>
      <c r="J29" s="1" t="s">
        <v>23</v>
      </c>
      <c r="K29" s="1"/>
      <c r="L29" s="1"/>
    </row>
    <row r="30" spans="1:12" x14ac:dyDescent="0.3">
      <c r="A30" s="1"/>
      <c r="B30" s="5" t="s">
        <v>9</v>
      </c>
      <c r="C30" s="5">
        <v>2</v>
      </c>
      <c r="D30" s="5">
        <v>2.37</v>
      </c>
      <c r="E30" s="5">
        <v>1.69</v>
      </c>
      <c r="F30" s="5" t="s">
        <v>24</v>
      </c>
      <c r="G30" s="5" t="s">
        <v>24</v>
      </c>
      <c r="H30" s="5">
        <v>2.02</v>
      </c>
      <c r="I30" s="1"/>
      <c r="J30" s="1" t="s">
        <v>25</v>
      </c>
      <c r="K30" s="1"/>
      <c r="L30" s="1"/>
    </row>
    <row r="31" spans="1:12" x14ac:dyDescent="0.3">
      <c r="A31" s="1"/>
      <c r="B31" s="5" t="s">
        <v>10</v>
      </c>
      <c r="C31" s="5">
        <v>2.5499999999999998</v>
      </c>
      <c r="D31" s="5">
        <v>5.98</v>
      </c>
      <c r="E31" s="5">
        <v>4.04</v>
      </c>
      <c r="F31" s="5" t="s">
        <v>24</v>
      </c>
      <c r="G31" s="5" t="s">
        <v>24</v>
      </c>
      <c r="H31" s="5">
        <v>4.1900000000000004</v>
      </c>
      <c r="I31" s="1"/>
      <c r="J31" s="1"/>
      <c r="K31" s="1"/>
      <c r="L31" s="1"/>
    </row>
    <row r="32" spans="1:12" x14ac:dyDescent="0.3">
      <c r="A32" s="1"/>
      <c r="B32" s="5" t="s">
        <v>11</v>
      </c>
      <c r="C32" s="5">
        <v>4.4000000000000004</v>
      </c>
      <c r="D32" s="5">
        <v>4.3899999999999997</v>
      </c>
      <c r="E32" s="5">
        <v>4.42</v>
      </c>
      <c r="F32" s="5" t="s">
        <v>24</v>
      </c>
      <c r="G32" s="5" t="s">
        <v>24</v>
      </c>
      <c r="H32" s="5">
        <v>4.4029999999999996</v>
      </c>
      <c r="I32" s="1"/>
      <c r="J32" s="1"/>
      <c r="K32" s="1"/>
      <c r="L32" s="1"/>
    </row>
    <row r="33" spans="1:12" x14ac:dyDescent="0.3">
      <c r="A33" s="1"/>
      <c r="B33" s="5" t="s">
        <v>12</v>
      </c>
      <c r="C33" s="5">
        <v>5.28</v>
      </c>
      <c r="D33" s="5">
        <v>5.3</v>
      </c>
      <c r="E33" s="5">
        <v>5.31</v>
      </c>
      <c r="F33" s="5" t="s">
        <v>24</v>
      </c>
      <c r="G33" s="5" t="s">
        <v>24</v>
      </c>
      <c r="H33" s="5">
        <v>5.2960000000000003</v>
      </c>
      <c r="I33" s="1"/>
      <c r="J33" s="1"/>
      <c r="K33" s="1"/>
      <c r="L33" s="1"/>
    </row>
    <row r="34" spans="1:12" x14ac:dyDescent="0.3">
      <c r="A34" s="1"/>
      <c r="B34" s="5" t="s">
        <v>13</v>
      </c>
      <c r="C34" s="5">
        <v>7.01</v>
      </c>
      <c r="D34" s="5">
        <v>7.01</v>
      </c>
      <c r="E34" s="5">
        <v>7.03</v>
      </c>
      <c r="F34" s="5" t="s">
        <v>24</v>
      </c>
      <c r="G34" s="5" t="s">
        <v>24</v>
      </c>
      <c r="H34" s="5">
        <v>7.016</v>
      </c>
      <c r="I34" s="1"/>
      <c r="J34" s="1"/>
      <c r="K34" s="1"/>
      <c r="L34" s="1"/>
    </row>
    <row r="35" spans="1:12" x14ac:dyDescent="0.3">
      <c r="A35" s="1"/>
      <c r="B35" s="5" t="s">
        <v>14</v>
      </c>
      <c r="C35" s="5">
        <v>5.6</v>
      </c>
      <c r="D35" s="5">
        <v>5.65</v>
      </c>
      <c r="E35" s="5">
        <v>5.59</v>
      </c>
      <c r="F35" s="5" t="s">
        <v>24</v>
      </c>
      <c r="G35" s="5" t="s">
        <v>24</v>
      </c>
      <c r="H35" s="5">
        <v>5.6130000000000004</v>
      </c>
      <c r="I35" s="1"/>
      <c r="J35" s="1"/>
      <c r="K35" s="1"/>
      <c r="L35" s="1"/>
    </row>
    <row r="36" spans="1:12" x14ac:dyDescent="0.3">
      <c r="A36" s="1"/>
      <c r="B36" s="5" t="s">
        <v>15</v>
      </c>
      <c r="C36" s="5">
        <v>3.83</v>
      </c>
      <c r="D36" s="5">
        <v>3.9</v>
      </c>
      <c r="E36" s="5">
        <v>3.98</v>
      </c>
      <c r="F36" s="5" t="s">
        <v>24</v>
      </c>
      <c r="G36" s="5" t="s">
        <v>24</v>
      </c>
      <c r="H36" s="5">
        <v>3.8730000000000002</v>
      </c>
      <c r="I36" s="1"/>
      <c r="J36" s="1"/>
      <c r="K36" s="1"/>
      <c r="L36" s="1"/>
    </row>
    <row r="37" spans="1:12" x14ac:dyDescent="0.3">
      <c r="A37" s="1"/>
      <c r="B37" s="5" t="s">
        <v>16</v>
      </c>
      <c r="C37" s="5">
        <v>4.25</v>
      </c>
      <c r="D37" s="5">
        <v>4.24</v>
      </c>
      <c r="E37" s="5">
        <v>4.2300000000000004</v>
      </c>
      <c r="F37" s="5" t="s">
        <v>24</v>
      </c>
      <c r="G37" s="5" t="s">
        <v>24</v>
      </c>
      <c r="H37" s="5">
        <v>4.24</v>
      </c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2" t="s">
        <v>26</v>
      </c>
      <c r="C42" s="8" t="s">
        <v>27</v>
      </c>
      <c r="D42" s="9"/>
      <c r="E42" s="9"/>
      <c r="F42" s="9"/>
      <c r="G42" s="10"/>
      <c r="H42" s="4"/>
      <c r="I42" s="1"/>
      <c r="J42" s="1"/>
      <c r="K42" s="1"/>
      <c r="L42" s="1"/>
    </row>
    <row r="43" spans="1:12" x14ac:dyDescent="0.3">
      <c r="A43" s="1"/>
      <c r="B43" s="6" t="s">
        <v>2</v>
      </c>
      <c r="C43" s="4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1"/>
      <c r="J43" s="1"/>
      <c r="K43" s="1"/>
      <c r="L43" s="1"/>
    </row>
    <row r="44" spans="1:12" x14ac:dyDescent="0.3">
      <c r="A44" s="1"/>
      <c r="B44" s="5" t="s">
        <v>9</v>
      </c>
      <c r="C44" s="5">
        <v>0.33</v>
      </c>
      <c r="D44" s="5">
        <v>0.37</v>
      </c>
      <c r="E44" s="5">
        <v>0.21</v>
      </c>
      <c r="F44" s="5" t="s">
        <v>18</v>
      </c>
      <c r="G44" s="5" t="s">
        <v>18</v>
      </c>
      <c r="H44" s="5">
        <v>0.3</v>
      </c>
      <c r="I44" s="1"/>
      <c r="J44" s="1"/>
      <c r="K44" s="1"/>
      <c r="L44" s="1"/>
    </row>
    <row r="45" spans="1:12" x14ac:dyDescent="0.3">
      <c r="A45" s="1"/>
      <c r="B45" s="5" t="s">
        <v>10</v>
      </c>
      <c r="C45" s="5">
        <v>0.35</v>
      </c>
      <c r="D45" s="5">
        <v>0.27</v>
      </c>
      <c r="E45" s="5">
        <v>0.26</v>
      </c>
      <c r="F45" s="5" t="s">
        <v>18</v>
      </c>
      <c r="G45" s="5" t="s">
        <v>18</v>
      </c>
      <c r="H45" s="5">
        <v>0.28999999999999998</v>
      </c>
      <c r="I45" s="1"/>
      <c r="J45" s="1"/>
      <c r="K45" s="1"/>
      <c r="L45" s="1"/>
    </row>
    <row r="46" spans="1:12" x14ac:dyDescent="0.3">
      <c r="A46" s="1"/>
      <c r="B46" s="5" t="s">
        <v>11</v>
      </c>
      <c r="C46" s="5">
        <v>0.56999999999999995</v>
      </c>
      <c r="D46" s="5">
        <v>0.56000000000000005</v>
      </c>
      <c r="E46" s="5">
        <v>0.78</v>
      </c>
      <c r="F46" s="5" t="s">
        <v>18</v>
      </c>
      <c r="G46" s="5" t="s">
        <v>18</v>
      </c>
      <c r="H46" s="5">
        <v>0.64</v>
      </c>
      <c r="I46" s="1"/>
      <c r="J46" s="1"/>
      <c r="K46" s="1"/>
      <c r="L46" s="1"/>
    </row>
    <row r="47" spans="1:12" x14ac:dyDescent="0.3">
      <c r="A47" s="1"/>
      <c r="B47" s="5" t="s">
        <v>12</v>
      </c>
      <c r="C47" s="5">
        <v>0.81</v>
      </c>
      <c r="D47" s="5">
        <v>0.8</v>
      </c>
      <c r="E47" s="5">
        <v>0.55000000000000004</v>
      </c>
      <c r="F47" s="5" t="s">
        <v>18</v>
      </c>
      <c r="G47" s="5" t="s">
        <v>18</v>
      </c>
      <c r="H47" s="5">
        <v>0.72</v>
      </c>
      <c r="I47" s="1"/>
      <c r="J47" s="1"/>
      <c r="K47" s="1"/>
      <c r="L47" s="1"/>
    </row>
    <row r="48" spans="1:12" x14ac:dyDescent="0.3">
      <c r="A48" s="1"/>
      <c r="B48" s="5" t="s">
        <v>13</v>
      </c>
      <c r="C48" s="5">
        <v>0.33</v>
      </c>
      <c r="D48" s="5">
        <v>0.28999999999999998</v>
      </c>
      <c r="E48" s="5">
        <v>0.35</v>
      </c>
      <c r="F48" s="5" t="s">
        <v>18</v>
      </c>
      <c r="G48" s="5" t="s">
        <v>18</v>
      </c>
      <c r="H48" s="5">
        <v>0.32</v>
      </c>
      <c r="I48" s="1"/>
      <c r="J48" s="1"/>
      <c r="K48" s="1"/>
      <c r="L48" s="1"/>
    </row>
    <row r="49" spans="1:12" x14ac:dyDescent="0.3">
      <c r="A49" s="1"/>
      <c r="B49" s="5" t="s">
        <v>14</v>
      </c>
      <c r="C49" s="5">
        <v>0.15</v>
      </c>
      <c r="D49" s="5">
        <v>0.12</v>
      </c>
      <c r="E49" s="5">
        <v>0.17</v>
      </c>
      <c r="F49" s="5" t="s">
        <v>18</v>
      </c>
      <c r="G49" s="5" t="s">
        <v>18</v>
      </c>
      <c r="H49" s="5">
        <v>0.15</v>
      </c>
      <c r="I49" s="1"/>
      <c r="J49" s="1"/>
      <c r="K49" s="1"/>
      <c r="L49" s="1"/>
    </row>
    <row r="50" spans="1:12" x14ac:dyDescent="0.3">
      <c r="A50" s="1"/>
      <c r="B50" s="5" t="s">
        <v>15</v>
      </c>
      <c r="C50" s="5">
        <v>0.09</v>
      </c>
      <c r="D50" s="5">
        <v>7.0000000000000007E-2</v>
      </c>
      <c r="E50" s="5">
        <v>0.03</v>
      </c>
      <c r="F50" s="5" t="s">
        <v>18</v>
      </c>
      <c r="G50" s="5" t="s">
        <v>18</v>
      </c>
      <c r="H50" s="5">
        <v>0.06</v>
      </c>
      <c r="I50" s="1"/>
      <c r="J50" s="1"/>
      <c r="K50" s="1"/>
      <c r="L50" s="1"/>
    </row>
    <row r="51" spans="1:12" x14ac:dyDescent="0.3">
      <c r="A51" s="1"/>
      <c r="B51" s="5" t="s">
        <v>16</v>
      </c>
      <c r="C51" s="5">
        <v>0.21</v>
      </c>
      <c r="D51" s="5">
        <v>0.13</v>
      </c>
      <c r="E51" s="5">
        <v>0.1</v>
      </c>
      <c r="F51" s="5" t="s">
        <v>18</v>
      </c>
      <c r="G51" s="5" t="s">
        <v>18</v>
      </c>
      <c r="H51" s="5">
        <v>0.15</v>
      </c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2" t="s">
        <v>28</v>
      </c>
      <c r="C54" s="8" t="s">
        <v>27</v>
      </c>
      <c r="D54" s="9"/>
      <c r="E54" s="9"/>
      <c r="F54" s="9"/>
      <c r="G54" s="10"/>
      <c r="H54" s="4"/>
      <c r="I54" s="1"/>
      <c r="J54" s="1"/>
      <c r="K54" s="1"/>
      <c r="L54" s="1"/>
    </row>
    <row r="55" spans="1:12" x14ac:dyDescent="0.3">
      <c r="A55" s="1"/>
      <c r="B55" s="4" t="s">
        <v>2</v>
      </c>
      <c r="C55" s="4" t="s">
        <v>3</v>
      </c>
      <c r="D55" s="4" t="s">
        <v>4</v>
      </c>
      <c r="E55" s="4" t="s">
        <v>5</v>
      </c>
      <c r="F55" s="4" t="s">
        <v>6</v>
      </c>
      <c r="G55" s="4" t="s">
        <v>7</v>
      </c>
      <c r="H55" s="4" t="s">
        <v>8</v>
      </c>
      <c r="I55" s="1"/>
      <c r="J55" s="1"/>
      <c r="K55" s="1"/>
      <c r="L55" s="1"/>
    </row>
    <row r="56" spans="1:12" x14ac:dyDescent="0.3">
      <c r="A56" s="1"/>
      <c r="B56" s="5" t="s">
        <v>9</v>
      </c>
      <c r="C56" s="5">
        <v>0.59</v>
      </c>
      <c r="D56" s="5">
        <v>0.53</v>
      </c>
      <c r="E56" s="5">
        <v>0.6</v>
      </c>
      <c r="F56" s="5">
        <v>0.56999999999999995</v>
      </c>
      <c r="G56" s="5" t="s">
        <v>24</v>
      </c>
      <c r="H56" s="5">
        <v>0.57250000000000001</v>
      </c>
      <c r="I56" s="1"/>
      <c r="J56" s="1"/>
      <c r="K56" s="1"/>
      <c r="L56" s="1"/>
    </row>
    <row r="57" spans="1:12" x14ac:dyDescent="0.3">
      <c r="A57" s="1"/>
      <c r="B57" s="5" t="s">
        <v>10</v>
      </c>
      <c r="C57" s="5">
        <v>0.26</v>
      </c>
      <c r="D57" s="5">
        <v>0.23</v>
      </c>
      <c r="E57" s="5">
        <v>0.23</v>
      </c>
      <c r="F57" s="5">
        <v>0.24</v>
      </c>
      <c r="G57" s="5" t="s">
        <v>24</v>
      </c>
      <c r="H57" s="5">
        <v>0.24</v>
      </c>
      <c r="I57" s="1"/>
      <c r="J57" s="1"/>
      <c r="K57" s="1"/>
      <c r="L57" s="1"/>
    </row>
    <row r="58" spans="1:12" x14ac:dyDescent="0.3">
      <c r="A58" s="1"/>
      <c r="B58" s="5" t="s">
        <v>11</v>
      </c>
      <c r="C58" s="5">
        <v>0.93</v>
      </c>
      <c r="D58" s="7">
        <v>1.1599999999999999</v>
      </c>
      <c r="E58" s="7">
        <v>1.24</v>
      </c>
      <c r="F58" s="7">
        <v>1.1100000000000001</v>
      </c>
      <c r="G58" s="5" t="s">
        <v>24</v>
      </c>
      <c r="H58" s="7">
        <v>1.1100000000000001</v>
      </c>
      <c r="I58" s="1"/>
      <c r="J58" s="1"/>
      <c r="K58" s="1"/>
      <c r="L58" s="1"/>
    </row>
    <row r="59" spans="1:12" x14ac:dyDescent="0.3">
      <c r="A59" s="1"/>
      <c r="B59" s="5" t="s">
        <v>12</v>
      </c>
      <c r="C59" s="5">
        <v>0.78</v>
      </c>
      <c r="D59" s="5">
        <v>0.72</v>
      </c>
      <c r="E59" s="5">
        <v>0.9</v>
      </c>
      <c r="F59" s="5">
        <v>0.8</v>
      </c>
      <c r="G59" s="5" t="s">
        <v>24</v>
      </c>
      <c r="H59" s="5">
        <v>0.8</v>
      </c>
      <c r="I59" s="1"/>
      <c r="J59" s="1"/>
      <c r="K59" s="1"/>
      <c r="L59" s="1"/>
    </row>
    <row r="60" spans="1:12" x14ac:dyDescent="0.3">
      <c r="A60" s="1"/>
      <c r="B60" s="5" t="s">
        <v>13</v>
      </c>
      <c r="C60" s="5">
        <v>0.12</v>
      </c>
      <c r="D60" s="5">
        <v>0.24</v>
      </c>
      <c r="E60" s="5">
        <v>0.21</v>
      </c>
      <c r="F60" s="5">
        <v>0.19</v>
      </c>
      <c r="G60" s="5" t="s">
        <v>24</v>
      </c>
      <c r="H60" s="5">
        <v>0.19</v>
      </c>
      <c r="I60" s="1"/>
      <c r="J60" s="1"/>
      <c r="K60" s="1"/>
      <c r="L60" s="1"/>
    </row>
    <row r="61" spans="1:12" x14ac:dyDescent="0.3">
      <c r="A61" s="1"/>
      <c r="B61" s="5" t="s">
        <v>14</v>
      </c>
      <c r="C61" s="5">
        <v>0.34</v>
      </c>
      <c r="D61" s="5">
        <v>0.2</v>
      </c>
      <c r="E61" s="5">
        <v>0.16</v>
      </c>
      <c r="F61" s="5">
        <v>0.23</v>
      </c>
      <c r="G61" s="5" t="s">
        <v>24</v>
      </c>
      <c r="H61" s="5">
        <v>0.23250000000000001</v>
      </c>
      <c r="I61" s="1"/>
      <c r="J61" s="1"/>
      <c r="K61" s="1"/>
      <c r="L61" s="1"/>
    </row>
    <row r="62" spans="1:12" x14ac:dyDescent="0.3">
      <c r="A62" s="1"/>
      <c r="B62" s="5" t="s">
        <v>15</v>
      </c>
      <c r="C62" s="5">
        <v>0.28000000000000003</v>
      </c>
      <c r="D62" s="5">
        <v>0.18</v>
      </c>
      <c r="E62" s="5">
        <v>0.4</v>
      </c>
      <c r="F62" s="5">
        <v>0.28999999999999998</v>
      </c>
      <c r="G62" s="5" t="s">
        <v>24</v>
      </c>
      <c r="H62" s="5">
        <v>0.28749999999999998</v>
      </c>
      <c r="I62" s="1"/>
      <c r="J62" s="1"/>
      <c r="K62" s="1"/>
      <c r="L62" s="1"/>
    </row>
    <row r="63" spans="1:12" x14ac:dyDescent="0.3">
      <c r="A63" s="1"/>
      <c r="B63" s="5" t="s">
        <v>16</v>
      </c>
      <c r="C63" s="5">
        <v>0.01</v>
      </c>
      <c r="D63" s="5">
        <v>0.06</v>
      </c>
      <c r="E63" s="5">
        <v>0.03</v>
      </c>
      <c r="F63" s="5" t="s">
        <v>24</v>
      </c>
      <c r="G63" s="5" t="s">
        <v>24</v>
      </c>
      <c r="H63" s="5">
        <v>3.3340000000000002E-2</v>
      </c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">
    <mergeCell ref="C2:G2"/>
    <mergeCell ref="C16:G16"/>
    <mergeCell ref="C28:G28"/>
    <mergeCell ref="C42:G42"/>
    <mergeCell ref="C54:G54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Avinash</dc:creator>
  <cp:lastModifiedBy>Vanshika Avinash</cp:lastModifiedBy>
  <dcterms:created xsi:type="dcterms:W3CDTF">2025-11-13T21:06:40Z</dcterms:created>
  <dcterms:modified xsi:type="dcterms:W3CDTF">2025-11-13T22:10:14Z</dcterms:modified>
</cp:coreProperties>
</file>